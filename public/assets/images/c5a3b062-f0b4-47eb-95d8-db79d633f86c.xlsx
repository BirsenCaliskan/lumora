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academyalper/Desktop/2025 BORDO/"/>
    </mc:Choice>
  </mc:AlternateContent>
  <xr:revisionPtr revIDLastSave="0" documentId="8_{93B1CB5D-EDF5-3542-8392-8278E128E1C2}" xr6:coauthVersionLast="47" xr6:coauthVersionMax="47" xr10:uidLastSave="{00000000-0000-0000-0000-000000000000}"/>
  <bookViews>
    <workbookView xWindow="35760" yWindow="2480" windowWidth="27040" windowHeight="15640" xr2:uid="{009C494B-BAD8-0147-A379-FF8BD1DC989A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3" i="1" s="1"/>
  <c r="E13" i="1" s="1"/>
  <c r="D10" i="1"/>
  <c r="D9" i="1"/>
  <c r="E8" i="1"/>
  <c r="F8" i="1" s="1"/>
  <c r="G6" i="1" s="1"/>
  <c r="F6" i="1"/>
  <c r="C16" i="1" s="1"/>
  <c r="E6" i="1"/>
  <c r="C17" i="1" s="1"/>
  <c r="C15" i="1" l="1"/>
  <c r="B14" i="1"/>
  <c r="B15" i="1" s="1"/>
  <c r="F13" i="1"/>
  <c r="I15" i="1" s="1"/>
  <c r="I17" i="1" l="1"/>
  <c r="I16" i="1"/>
  <c r="I20" i="1" s="1"/>
  <c r="D15" i="1"/>
  <c r="B17" i="1"/>
  <c r="D17" i="1" s="1"/>
  <c r="B16" i="1"/>
  <c r="D16" i="1" s="1"/>
  <c r="B27" i="1" l="1"/>
  <c r="D18" i="1"/>
  <c r="D19" i="1" l="1"/>
  <c r="D20" i="1" s="1"/>
  <c r="B26" i="1" l="1"/>
  <c r="B28" i="1" s="1"/>
  <c r="I21" i="1"/>
</calcChain>
</file>

<file path=xl/sharedStrings.xml><?xml version="1.0" encoding="utf-8"?>
<sst xmlns="http://schemas.openxmlformats.org/spreadsheetml/2006/main" count="46" uniqueCount="43">
  <si>
    <t>KIDEM VE İHBAR TAZMİNAT BORDROSU</t>
  </si>
  <si>
    <t>Ş  A  H S  İ     B  İ  L  G  İ  L  E  R</t>
  </si>
  <si>
    <t>K I D E M    S Ü R E S İ</t>
  </si>
  <si>
    <t xml:space="preserve"> </t>
  </si>
  <si>
    <t>XX</t>
  </si>
  <si>
    <t>GÜN</t>
  </si>
  <si>
    <t>AY</t>
  </si>
  <si>
    <t>YIL</t>
  </si>
  <si>
    <t>SİCİL NO</t>
  </si>
  <si>
    <t>İŞE GİRİŞ TARİHİ</t>
  </si>
  <si>
    <t>İhbar Tazm.Var:1 Yok:0</t>
  </si>
  <si>
    <t>İŞTEN ÇIKIŞ</t>
  </si>
  <si>
    <t>Devreden Vergi Matrahı</t>
  </si>
  <si>
    <t>KIDEM SÜRESİ</t>
  </si>
  <si>
    <t>AYRILIŞ NEDENİ</t>
  </si>
  <si>
    <t>4857 17</t>
  </si>
  <si>
    <t>KAZANÇ DÖKÜMÜ</t>
  </si>
  <si>
    <t>BRÜT ÜCRET</t>
  </si>
  <si>
    <t>YEMEK ÜCRETİ</t>
  </si>
  <si>
    <t>YOL ÜCRETİ</t>
  </si>
  <si>
    <t>EK ÖDEMELER</t>
  </si>
  <si>
    <t>Yıllık İhbar tavanı</t>
  </si>
  <si>
    <t>KIDEM TAZMİNATI HESABI</t>
  </si>
  <si>
    <t>İhbar süresi(gün)</t>
  </si>
  <si>
    <t>İHBAR TAZMİNATI HESABI</t>
  </si>
  <si>
    <t>Kıdem Tazminatı Tavanı</t>
  </si>
  <si>
    <t>Gelir vergisi</t>
  </si>
  <si>
    <t>KÜMÜLATİF VERGİ DİLİMİNE GÖRE DEĞİŞİR</t>
  </si>
  <si>
    <t>Damga pulu</t>
  </si>
  <si>
    <t>Brüt kıdem tutarı</t>
  </si>
  <si>
    <t>Damga vergisi</t>
  </si>
  <si>
    <t>Net kıdem tazminatı</t>
  </si>
  <si>
    <t>Net ihbar tazminatı</t>
  </si>
  <si>
    <t>TOPLAM</t>
  </si>
  <si>
    <t>ihbar tazminat tutarımı nakden ve eksiksiz olarak aldığımı</t>
  </si>
  <si>
    <t>Firmasından</t>
  </si>
  <si>
    <t>TOPLAM ÖDEME İCMALİ</t>
  </si>
  <si>
    <t>hiçbir hak ve alacağımın kalmadığını ibra ederim.</t>
  </si>
  <si>
    <t>KIDEM TAZMİNATI</t>
  </si>
  <si>
    <t xml:space="preserve">  ADI SOYADI</t>
  </si>
  <si>
    <t>İ  M  Z  A</t>
  </si>
  <si>
    <t>İHBAR TAZMİNATI</t>
  </si>
  <si>
    <t>TOPLAM ÖDEME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</si>
</sst>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4">
    <font>
      <sz val="12"/>
      <color theme="1"/>
      <name val="Aptos Narrow"/>
      <family val="2"/>
      <charset val="162"/>
      <scheme val="minor"/>
    </font>
    <font>
      <b/>
      <i/>
      <sz val="14"/>
      <color indexed="12"/>
      <name val="Times New Roman Tur"/>
      <family val="4"/>
      <charset val="162"/>
    </font>
    <font>
      <b/>
      <i/>
      <sz val="14"/>
      <name val="Times New Roman Tur"/>
      <charset val="162"/>
    </font>
    <font>
      <b/>
      <i/>
      <sz val="14"/>
      <name val="Times New Roman Tur"/>
      <family val="2"/>
      <charset val="162"/>
    </font>
    <font>
      <b/>
      <sz val="14"/>
      <name val="Times New Roman Tur"/>
      <family val="2"/>
      <charset val="162"/>
    </font>
    <font>
      <b/>
      <sz val="14"/>
      <name val="Arial Tur"/>
      <charset val="162"/>
    </font>
    <font>
      <b/>
      <i/>
      <sz val="12"/>
      <name val="Times New Roman Tur"/>
      <charset val="162"/>
    </font>
    <font>
      <b/>
      <i/>
      <sz val="14"/>
      <color indexed="12"/>
      <name val="Times New Roman Tur"/>
      <charset val="162"/>
    </font>
    <font>
      <sz val="14"/>
      <color indexed="22"/>
      <name val="Arial"/>
      <family val="2"/>
      <charset val="162"/>
    </font>
    <font>
      <b/>
      <sz val="14"/>
      <name val="Arial Tur"/>
      <family val="3"/>
      <charset val="162"/>
    </font>
    <font>
      <b/>
      <i/>
      <sz val="14"/>
      <name val="Times New Roman Tur"/>
      <family val="3"/>
      <charset val="162"/>
    </font>
    <font>
      <b/>
      <sz val="14"/>
      <color indexed="12"/>
      <name val="Arial Tur"/>
      <charset val="162"/>
    </font>
    <font>
      <b/>
      <i/>
      <sz val="14"/>
      <color indexed="10"/>
      <name val="Times New Roman Tur"/>
      <charset val="162"/>
    </font>
    <font>
      <b/>
      <sz val="14"/>
      <name val="Arial Tur"/>
      <family val="2"/>
      <charset val="162"/>
    </font>
    <font>
      <b/>
      <sz val="14"/>
      <color indexed="12"/>
      <name val="Arial Tur"/>
      <family val="3"/>
      <charset val="162"/>
    </font>
    <font>
      <b/>
      <i/>
      <sz val="14"/>
      <color indexed="53"/>
      <name val="Times New Roman Tur"/>
      <charset val="162"/>
    </font>
    <font>
      <b/>
      <sz val="14"/>
      <color indexed="12"/>
      <name val="Arial"/>
      <family val="2"/>
      <charset val="162"/>
    </font>
    <font>
      <b/>
      <sz val="14"/>
      <color indexed="12"/>
      <name val="Arial Tur"/>
      <family val="2"/>
      <charset val="162"/>
    </font>
    <font>
      <b/>
      <i/>
      <sz val="14"/>
      <color indexed="10"/>
      <name val="Times New Roman Tur"/>
      <family val="2"/>
      <charset val="162"/>
    </font>
    <font>
      <b/>
      <sz val="14"/>
      <color indexed="10"/>
      <name val="Arial Tur"/>
      <charset val="162"/>
    </font>
    <font>
      <b/>
      <i/>
      <sz val="10"/>
      <color indexed="10"/>
      <name val="Times New Roman Tur"/>
      <charset val="162"/>
    </font>
    <font>
      <b/>
      <i/>
      <sz val="10"/>
      <name val="Times New Roman Tur"/>
      <charset val="162"/>
    </font>
    <font>
      <b/>
      <sz val="10"/>
      <name val="Arial Tur"/>
      <charset val="162"/>
    </font>
    <font>
      <b/>
      <sz val="10"/>
      <color indexed="10"/>
      <name val="Arial Tur"/>
      <charset val="16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medium">
        <color indexed="22"/>
      </left>
      <right style="thin">
        <color indexed="64"/>
      </right>
      <top style="medium">
        <color indexed="22"/>
      </top>
      <bottom style="medium">
        <color indexed="22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4" fontId="1" fillId="0" borderId="1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4" fontId="3" fillId="0" borderId="5" xfId="0" applyNumberFormat="1" applyFont="1" applyBorder="1"/>
    <xf numFmtId="4" fontId="4" fillId="2" borderId="6" xfId="0" applyNumberFormat="1" applyFont="1" applyFill="1" applyBorder="1" applyAlignment="1" applyProtection="1">
      <alignment horizontal="center" vertical="center" wrapText="1"/>
      <protection locked="0"/>
    </xf>
    <xf numFmtId="4" fontId="4" fillId="2" borderId="7" xfId="0" applyNumberFormat="1" applyFont="1" applyFill="1" applyBorder="1" applyAlignment="1" applyProtection="1">
      <alignment horizontal="center" vertical="center"/>
      <protection locked="0"/>
    </xf>
    <xf numFmtId="4" fontId="2" fillId="0" borderId="8" xfId="0" applyNumberFormat="1" applyFont="1" applyBorder="1"/>
    <xf numFmtId="4" fontId="3" fillId="0" borderId="9" xfId="0" applyNumberFormat="1" applyFont="1" applyBorder="1" applyAlignment="1">
      <alignment horizontal="center"/>
    </xf>
    <xf numFmtId="4" fontId="2" fillId="0" borderId="10" xfId="0" applyNumberFormat="1" applyFont="1" applyBorder="1" applyAlignment="1">
      <alignment horizontal="center"/>
    </xf>
    <xf numFmtId="4" fontId="2" fillId="0" borderId="11" xfId="0" applyNumberFormat="1" applyFont="1" applyBorder="1" applyAlignment="1">
      <alignment horizontal="center"/>
    </xf>
    <xf numFmtId="4" fontId="2" fillId="0" borderId="12" xfId="0" applyNumberFormat="1" applyFont="1" applyBorder="1"/>
    <xf numFmtId="4" fontId="2" fillId="0" borderId="13" xfId="0" applyNumberFormat="1" applyFont="1" applyBorder="1"/>
    <xf numFmtId="4" fontId="2" fillId="0" borderId="14" xfId="0" applyNumberFormat="1" applyFont="1" applyBorder="1"/>
    <xf numFmtId="1" fontId="2" fillId="2" borderId="6" xfId="0" applyNumberFormat="1" applyFont="1" applyFill="1" applyBorder="1" applyAlignment="1" applyProtection="1">
      <alignment horizontal="center"/>
      <protection locked="0"/>
    </xf>
    <xf numFmtId="1" fontId="2" fillId="2" borderId="15" xfId="0" applyNumberFormat="1" applyFont="1" applyFill="1" applyBorder="1" applyAlignment="1" applyProtection="1">
      <alignment horizontal="center"/>
      <protection locked="0"/>
    </xf>
    <xf numFmtId="4" fontId="2" fillId="0" borderId="16" xfId="0" applyNumberFormat="1" applyFont="1" applyBorder="1"/>
    <xf numFmtId="1" fontId="5" fillId="2" borderId="17" xfId="0" applyNumberFormat="1" applyFont="1" applyFill="1" applyBorder="1" applyAlignment="1" applyProtection="1">
      <alignment horizontal="center"/>
      <protection locked="0"/>
    </xf>
    <xf numFmtId="1" fontId="5" fillId="2" borderId="18" xfId="0" applyNumberFormat="1" applyFont="1" applyFill="1" applyBorder="1" applyAlignment="1" applyProtection="1">
      <alignment horizontal="center"/>
      <protection locked="0"/>
    </xf>
    <xf numFmtId="1" fontId="5" fillId="2" borderId="19" xfId="0" applyNumberFormat="1" applyFont="1" applyFill="1" applyBorder="1" applyAlignment="1" applyProtection="1">
      <alignment horizontal="center"/>
      <protection locked="0"/>
    </xf>
    <xf numFmtId="4" fontId="5" fillId="0" borderId="16" xfId="0" applyNumberFormat="1" applyFont="1" applyBorder="1"/>
    <xf numFmtId="3" fontId="2" fillId="2" borderId="6" xfId="0" applyNumberFormat="1" applyFont="1" applyFill="1" applyBorder="1" applyAlignment="1" applyProtection="1">
      <alignment horizontal="center"/>
      <protection locked="0"/>
    </xf>
    <xf numFmtId="3" fontId="2" fillId="2" borderId="15" xfId="0" applyNumberFormat="1" applyFont="1" applyFill="1" applyBorder="1" applyAlignment="1" applyProtection="1">
      <alignment horizontal="center"/>
      <protection locked="0"/>
    </xf>
    <xf numFmtId="4" fontId="2" fillId="0" borderId="20" xfId="0" applyNumberFormat="1" applyFont="1" applyBorder="1"/>
    <xf numFmtId="4" fontId="2" fillId="2" borderId="11" xfId="0" applyNumberFormat="1" applyFont="1" applyFill="1" applyBorder="1" applyAlignment="1" applyProtection="1">
      <alignment horizontal="center"/>
      <protection locked="0"/>
    </xf>
    <xf numFmtId="4" fontId="2" fillId="2" borderId="13" xfId="0" applyNumberFormat="1" applyFont="1" applyFill="1" applyBorder="1" applyAlignment="1" applyProtection="1">
      <alignment horizontal="center"/>
      <protection locked="0"/>
    </xf>
    <xf numFmtId="1" fontId="5" fillId="0" borderId="21" xfId="0" applyNumberFormat="1" applyFont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4" fontId="6" fillId="2" borderId="11" xfId="0" applyNumberFormat="1" applyFont="1" applyFill="1" applyBorder="1" applyAlignment="1" applyProtection="1">
      <alignment horizontal="center" wrapText="1"/>
      <protection locked="0"/>
    </xf>
    <xf numFmtId="4" fontId="6" fillId="2" borderId="13" xfId="0" applyNumberFormat="1" applyFont="1" applyFill="1" applyBorder="1" applyAlignment="1" applyProtection="1">
      <alignment horizontal="center"/>
      <protection locked="0"/>
    </xf>
    <xf numFmtId="4" fontId="2" fillId="0" borderId="0" xfId="0" applyNumberFormat="1" applyFont="1"/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" fontId="5" fillId="0" borderId="0" xfId="0" applyNumberFormat="1" applyFont="1"/>
    <xf numFmtId="4" fontId="5" fillId="0" borderId="24" xfId="0" applyNumberFormat="1" applyFont="1" applyBorder="1"/>
    <xf numFmtId="4" fontId="7" fillId="0" borderId="25" xfId="0" applyNumberFormat="1" applyFont="1" applyBorder="1" applyAlignment="1">
      <alignment horizontal="center"/>
    </xf>
    <xf numFmtId="4" fontId="7" fillId="0" borderId="26" xfId="0" applyNumberFormat="1" applyFont="1" applyBorder="1" applyAlignment="1">
      <alignment horizontal="center"/>
    </xf>
    <xf numFmtId="1" fontId="5" fillId="3" borderId="27" xfId="0" applyNumberFormat="1" applyFont="1" applyFill="1" applyBorder="1"/>
    <xf numFmtId="0" fontId="8" fillId="0" borderId="0" xfId="0" applyFont="1"/>
    <xf numFmtId="4" fontId="9" fillId="0" borderId="24" xfId="0" applyNumberFormat="1" applyFont="1" applyBorder="1"/>
    <xf numFmtId="4" fontId="10" fillId="0" borderId="16" xfId="0" applyNumberFormat="1" applyFont="1" applyBorder="1"/>
    <xf numFmtId="4" fontId="9" fillId="2" borderId="16" xfId="0" applyNumberFormat="1" applyFont="1" applyFill="1" applyBorder="1" applyProtection="1">
      <protection locked="0"/>
    </xf>
    <xf numFmtId="1" fontId="5" fillId="3" borderId="8" xfId="0" applyNumberFormat="1" applyFont="1" applyFill="1" applyBorder="1" applyAlignment="1">
      <alignment horizontal="center"/>
    </xf>
    <xf numFmtId="4" fontId="5" fillId="0" borderId="1" xfId="0" applyNumberFormat="1" applyFont="1" applyBorder="1"/>
    <xf numFmtId="4" fontId="2" fillId="0" borderId="16" xfId="0" applyNumberFormat="1" applyFont="1" applyBorder="1" applyAlignment="1">
      <alignment horizontal="center"/>
    </xf>
    <xf numFmtId="4" fontId="10" fillId="0" borderId="28" xfId="0" applyNumberFormat="1" applyFont="1" applyBorder="1"/>
    <xf numFmtId="4" fontId="9" fillId="0" borderId="10" xfId="0" applyNumberFormat="1" applyFont="1" applyBorder="1"/>
    <xf numFmtId="1" fontId="5" fillId="3" borderId="9" xfId="0" applyNumberFormat="1" applyFont="1" applyFill="1" applyBorder="1" applyAlignment="1">
      <alignment horizontal="center"/>
    </xf>
    <xf numFmtId="4" fontId="7" fillId="3" borderId="28" xfId="0" applyNumberFormat="1" applyFont="1" applyFill="1" applyBorder="1"/>
    <xf numFmtId="4" fontId="5" fillId="0" borderId="6" xfId="0" applyNumberFormat="1" applyFont="1" applyBorder="1"/>
    <xf numFmtId="1" fontId="5" fillId="4" borderId="16" xfId="0" applyNumberFormat="1" applyFont="1" applyFill="1" applyBorder="1" applyAlignment="1">
      <alignment horizontal="center"/>
    </xf>
    <xf numFmtId="4" fontId="7" fillId="0" borderId="29" xfId="0" applyNumberFormat="1" applyFont="1" applyBorder="1"/>
    <xf numFmtId="4" fontId="11" fillId="0" borderId="29" xfId="0" applyNumberFormat="1" applyFont="1" applyBorder="1"/>
    <xf numFmtId="4" fontId="7" fillId="0" borderId="30" xfId="0" applyNumberFormat="1" applyFont="1" applyBorder="1"/>
    <xf numFmtId="4" fontId="12" fillId="2" borderId="2" xfId="0" applyNumberFormat="1" applyFont="1" applyFill="1" applyBorder="1"/>
    <xf numFmtId="4" fontId="13" fillId="0" borderId="0" xfId="0" applyNumberFormat="1" applyFont="1"/>
    <xf numFmtId="4" fontId="7" fillId="0" borderId="0" xfId="0" applyNumberFormat="1" applyFont="1"/>
    <xf numFmtId="4" fontId="11" fillId="0" borderId="0" xfId="0" applyNumberFormat="1" applyFont="1"/>
    <xf numFmtId="4" fontId="14" fillId="0" borderId="24" xfId="0" applyNumberFormat="1" applyFont="1" applyBorder="1"/>
    <xf numFmtId="4" fontId="15" fillId="3" borderId="2" xfId="0" applyNumberFormat="1" applyFont="1" applyFill="1" applyBorder="1"/>
    <xf numFmtId="4" fontId="16" fillId="0" borderId="31" xfId="0" applyNumberFormat="1" applyFont="1" applyBorder="1"/>
    <xf numFmtId="4" fontId="5" fillId="0" borderId="32" xfId="0" applyNumberFormat="1" applyFont="1" applyBorder="1"/>
    <xf numFmtId="4" fontId="5" fillId="0" borderId="10" xfId="0" applyNumberFormat="1" applyFont="1" applyBorder="1"/>
    <xf numFmtId="1" fontId="11" fillId="3" borderId="10" xfId="0" applyNumberFormat="1" applyFont="1" applyFill="1" applyBorder="1"/>
    <xf numFmtId="4" fontId="11" fillId="0" borderId="16" xfId="0" applyNumberFormat="1" applyFont="1" applyBorder="1"/>
    <xf numFmtId="164" fontId="11" fillId="3" borderId="32" xfId="0" applyNumberFormat="1" applyFont="1" applyFill="1" applyBorder="1"/>
    <xf numFmtId="4" fontId="7" fillId="0" borderId="33" xfId="0" applyNumberFormat="1" applyFont="1" applyBorder="1"/>
    <xf numFmtId="1" fontId="17" fillId="0" borderId="7" xfId="0" applyNumberFormat="1" applyFont="1" applyBorder="1"/>
    <xf numFmtId="4" fontId="2" fillId="0" borderId="27" xfId="0" applyNumberFormat="1" applyFont="1" applyBorder="1"/>
    <xf numFmtId="4" fontId="7" fillId="0" borderId="11" xfId="0" applyNumberFormat="1" applyFont="1" applyBorder="1"/>
    <xf numFmtId="4" fontId="11" fillId="0" borderId="27" xfId="0" applyNumberFormat="1" applyFont="1" applyBorder="1"/>
    <xf numFmtId="4" fontId="11" fillId="0" borderId="33" xfId="0" applyNumberFormat="1" applyFont="1" applyBorder="1"/>
    <xf numFmtId="4" fontId="11" fillId="0" borderId="15" xfId="0" applyNumberFormat="1" applyFont="1" applyBorder="1"/>
    <xf numFmtId="4" fontId="5" fillId="0" borderId="33" xfId="0" applyNumberFormat="1" applyFont="1" applyBorder="1"/>
    <xf numFmtId="1" fontId="9" fillId="0" borderId="33" xfId="0" applyNumberFormat="1" applyFont="1" applyBorder="1"/>
    <xf numFmtId="4" fontId="18" fillId="0" borderId="7" xfId="0" applyNumberFormat="1" applyFont="1" applyBorder="1"/>
    <xf numFmtId="4" fontId="19" fillId="0" borderId="0" xfId="0" applyNumberFormat="1" applyFont="1"/>
    <xf numFmtId="4" fontId="19" fillId="0" borderId="4" xfId="0" applyNumberFormat="1" applyFont="1" applyBorder="1"/>
    <xf numFmtId="4" fontId="2" fillId="0" borderId="34" xfId="0" applyNumberFormat="1" applyFont="1" applyBorder="1"/>
    <xf numFmtId="1" fontId="5" fillId="0" borderId="0" xfId="0" applyNumberFormat="1" applyFont="1"/>
    <xf numFmtId="4" fontId="2" fillId="2" borderId="0" xfId="0" applyNumberFormat="1" applyFont="1" applyFill="1" applyProtection="1">
      <protection locked="0"/>
    </xf>
    <xf numFmtId="4" fontId="20" fillId="0" borderId="2" xfId="0" applyNumberFormat="1" applyFont="1" applyBorder="1" applyAlignment="1">
      <alignment horizontal="left" vertical="center" wrapText="1"/>
    </xf>
    <xf numFmtId="4" fontId="20" fillId="0" borderId="3" xfId="0" applyNumberFormat="1" applyFont="1" applyBorder="1" applyAlignment="1">
      <alignment horizontal="left" vertical="center" wrapText="1"/>
    </xf>
    <xf numFmtId="4" fontId="21" fillId="0" borderId="2" xfId="0" applyNumberFormat="1" applyFont="1" applyBorder="1"/>
    <xf numFmtId="4" fontId="22" fillId="0" borderId="3" xfId="0" applyNumberFormat="1" applyFont="1" applyBorder="1"/>
    <xf numFmtId="4" fontId="2" fillId="0" borderId="1" xfId="0" applyNumberFormat="1" applyFont="1" applyBorder="1"/>
    <xf numFmtId="4" fontId="20" fillId="0" borderId="2" xfId="0" applyNumberFormat="1" applyFont="1" applyBorder="1"/>
    <xf numFmtId="4" fontId="23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C6E1F-34F9-EF4C-B8AD-BB7BAACF551D}">
  <dimension ref="A1:J28"/>
  <sheetViews>
    <sheetView tabSelected="1" workbookViewId="0">
      <selection sqref="A1:XFD1048576"/>
    </sheetView>
  </sheetViews>
  <sheetFormatPr baseColWidth="10" defaultColWidth="8.83203125" defaultRowHeight="16"/>
  <cols>
    <col min="1" max="1" width="34.1640625" customWidth="1"/>
    <col min="2" max="2" width="19.33203125" customWidth="1"/>
    <col min="3" max="3" width="22.5" customWidth="1"/>
    <col min="4" max="4" width="20.33203125" customWidth="1"/>
    <col min="5" max="5" width="17.5" customWidth="1"/>
    <col min="6" max="6" width="14.6640625" customWidth="1"/>
    <col min="9" max="9" width="18.33203125" customWidth="1"/>
  </cols>
  <sheetData>
    <row r="1" spans="1:10" ht="1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0" ht="18">
      <c r="A2" s="2" t="s">
        <v>1</v>
      </c>
      <c r="B2" s="3"/>
      <c r="C2" s="3"/>
      <c r="D2" s="3" t="s">
        <v>2</v>
      </c>
      <c r="E2" s="3"/>
      <c r="F2" s="3"/>
      <c r="G2" s="3"/>
      <c r="H2" s="3"/>
      <c r="I2" s="4"/>
    </row>
    <row r="3" spans="1:10" ht="19" thickBot="1">
      <c r="A3" s="5" t="s">
        <v>3</v>
      </c>
      <c r="B3" s="6" t="s">
        <v>4</v>
      </c>
      <c r="C3" s="7"/>
      <c r="D3" s="8"/>
      <c r="E3" s="9" t="s">
        <v>5</v>
      </c>
      <c r="F3" s="10" t="s">
        <v>6</v>
      </c>
      <c r="G3" s="11" t="s">
        <v>7</v>
      </c>
      <c r="H3" s="12"/>
      <c r="I3" s="13"/>
    </row>
    <row r="4" spans="1:10" ht="19" thickBot="1">
      <c r="A4" s="14" t="s">
        <v>8</v>
      </c>
      <c r="B4" s="15"/>
      <c r="C4" s="16"/>
      <c r="D4" s="17" t="s">
        <v>9</v>
      </c>
      <c r="E4" s="18">
        <v>1</v>
      </c>
      <c r="F4" s="19">
        <v>1</v>
      </c>
      <c r="G4" s="20">
        <v>2020</v>
      </c>
      <c r="H4" s="21"/>
      <c r="I4" s="21"/>
    </row>
    <row r="5" spans="1:10" ht="18">
      <c r="A5" s="14" t="s">
        <v>10</v>
      </c>
      <c r="B5" s="22">
        <v>1</v>
      </c>
      <c r="C5" s="23"/>
      <c r="D5" s="17" t="s">
        <v>11</v>
      </c>
      <c r="E5" s="18">
        <v>11</v>
      </c>
      <c r="F5" s="19">
        <v>1</v>
      </c>
      <c r="G5" s="20">
        <v>2025</v>
      </c>
      <c r="H5" s="21"/>
      <c r="I5" s="21"/>
    </row>
    <row r="6" spans="1:10" ht="19" thickBot="1">
      <c r="A6" s="24" t="s">
        <v>12</v>
      </c>
      <c r="B6" s="25"/>
      <c r="C6" s="26"/>
      <c r="D6" s="17" t="s">
        <v>13</v>
      </c>
      <c r="E6" s="27">
        <f>IF(E5&lt;E4,(E5+30)-E4,E5-E4)</f>
        <v>10</v>
      </c>
      <c r="F6" s="28">
        <f>IF((F5+E8)&lt;F4,(F5+E8)+12-F4,(F5+E8)-F4)</f>
        <v>0</v>
      </c>
      <c r="G6" s="29">
        <f>IF((G5+F8)&lt;E4,0,(G5+F8)-G4)</f>
        <v>5</v>
      </c>
      <c r="H6" s="21"/>
      <c r="I6" s="21"/>
    </row>
    <row r="7" spans="1:10" ht="19" thickBot="1">
      <c r="A7" s="24" t="s">
        <v>14</v>
      </c>
      <c r="B7" s="30" t="s">
        <v>15</v>
      </c>
      <c r="C7" s="31"/>
      <c r="D7" s="32"/>
      <c r="E7" s="33"/>
      <c r="F7" s="33"/>
      <c r="G7" s="34"/>
      <c r="H7" s="35"/>
      <c r="I7" s="36"/>
    </row>
    <row r="8" spans="1:10" ht="18">
      <c r="A8" s="37" t="s">
        <v>16</v>
      </c>
      <c r="B8" s="38"/>
      <c r="C8" s="39"/>
      <c r="D8" s="35"/>
      <c r="E8" s="40">
        <f>IF(E5&lt;E4,-1,0)</f>
        <v>0</v>
      </c>
      <c r="F8" s="40">
        <f>IF((F5+E8)&lt;F4,-1,0)</f>
        <v>0</v>
      </c>
      <c r="G8" s="33"/>
      <c r="H8" s="35"/>
      <c r="I8" s="41"/>
    </row>
    <row r="9" spans="1:10" ht="18">
      <c r="A9" s="42" t="s">
        <v>17</v>
      </c>
      <c r="B9" s="43">
        <v>30000</v>
      </c>
      <c r="C9" s="44">
        <v>12</v>
      </c>
      <c r="D9" s="35">
        <f>C9*B9</f>
        <v>360000</v>
      </c>
      <c r="E9" s="35"/>
      <c r="F9" s="35"/>
      <c r="G9" s="35"/>
      <c r="H9" s="35"/>
      <c r="I9" s="41"/>
    </row>
    <row r="10" spans="1:10" ht="18">
      <c r="A10" s="42" t="s">
        <v>18</v>
      </c>
      <c r="B10" s="43">
        <v>2000</v>
      </c>
      <c r="C10" s="44">
        <v>12</v>
      </c>
      <c r="D10" s="35">
        <f>C10*B10</f>
        <v>24000</v>
      </c>
      <c r="E10" s="35"/>
      <c r="F10" s="35"/>
      <c r="G10" s="35"/>
      <c r="H10" s="35"/>
      <c r="I10" s="41"/>
    </row>
    <row r="11" spans="1:10" ht="18">
      <c r="A11" s="42" t="s">
        <v>19</v>
      </c>
      <c r="B11" s="43">
        <v>3000</v>
      </c>
      <c r="C11" s="44">
        <v>12</v>
      </c>
      <c r="D11" s="35">
        <f>C11*B11</f>
        <v>36000</v>
      </c>
      <c r="E11" s="35"/>
      <c r="F11" s="35"/>
      <c r="G11" s="35"/>
      <c r="H11" s="35"/>
      <c r="I11" s="41"/>
    </row>
    <row r="12" spans="1:10" ht="18">
      <c r="A12" s="42" t="s">
        <v>20</v>
      </c>
      <c r="B12" s="43">
        <v>1500</v>
      </c>
      <c r="C12" s="44">
        <v>12</v>
      </c>
      <c r="D12" s="45">
        <f>B12*C12</f>
        <v>18000</v>
      </c>
      <c r="E12" s="35"/>
      <c r="F12" s="46" t="s">
        <v>21</v>
      </c>
      <c r="G12" s="46"/>
      <c r="H12" s="35"/>
      <c r="I12" s="41"/>
    </row>
    <row r="13" spans="1:10" ht="18">
      <c r="A13" s="47"/>
      <c r="B13" s="48"/>
      <c r="C13" s="49"/>
      <c r="D13" s="35">
        <f>SUM(D9:D12)</f>
        <v>438000</v>
      </c>
      <c r="E13" s="35">
        <f>D13/12</f>
        <v>36500</v>
      </c>
      <c r="F13" s="21">
        <f>IF(B5=0,0,((E13/30)*F14))</f>
        <v>68133.333333333343</v>
      </c>
      <c r="G13" s="35"/>
      <c r="H13" s="35"/>
      <c r="I13" s="41"/>
    </row>
    <row r="14" spans="1:10" ht="19" thickBot="1">
      <c r="A14" s="50" t="s">
        <v>22</v>
      </c>
      <c r="B14" s="51">
        <f>E13</f>
        <v>36500</v>
      </c>
      <c r="C14" s="49"/>
      <c r="D14" s="35" t="s">
        <v>3</v>
      </c>
      <c r="E14" s="32" t="s">
        <v>23</v>
      </c>
      <c r="F14" s="52">
        <v>56</v>
      </c>
      <c r="G14" s="53" t="s">
        <v>24</v>
      </c>
      <c r="H14" s="54"/>
      <c r="I14" s="55"/>
    </row>
    <row r="15" spans="1:10" ht="19" thickBot="1">
      <c r="A15" s="56">
        <v>46655.43</v>
      </c>
      <c r="B15" s="57">
        <f>IF(B14&lt;A15,B14,A15)</f>
        <v>36500</v>
      </c>
      <c r="C15" s="49">
        <f>G6</f>
        <v>5</v>
      </c>
      <c r="D15" s="35">
        <f>B15*C15+IF(C15,0,B15*C15)</f>
        <v>182500</v>
      </c>
      <c r="E15" s="35"/>
      <c r="F15" s="35"/>
      <c r="G15" s="58"/>
      <c r="H15" s="59"/>
      <c r="I15" s="60">
        <f>F13</f>
        <v>68133.333333333343</v>
      </c>
    </row>
    <row r="16" spans="1:10" ht="19" thickBot="1">
      <c r="A16" s="61" t="s">
        <v>25</v>
      </c>
      <c r="B16" s="57">
        <f>B15/12</f>
        <v>3041.6666666666665</v>
      </c>
      <c r="C16" s="49">
        <f>F6</f>
        <v>0</v>
      </c>
      <c r="D16" s="35">
        <f>IF(G6=0,0,B16*C16)</f>
        <v>0</v>
      </c>
      <c r="E16" s="35"/>
      <c r="F16" s="35"/>
      <c r="G16" s="58" t="s">
        <v>26</v>
      </c>
      <c r="H16" s="59"/>
      <c r="I16" s="62">
        <f>(I15/100)*20</f>
        <v>13626.66666666667</v>
      </c>
      <c r="J16" t="s">
        <v>27</v>
      </c>
    </row>
    <row r="17" spans="1:9" ht="18">
      <c r="A17" s="47"/>
      <c r="B17" s="63">
        <f>B15/360</f>
        <v>101.38888888888889</v>
      </c>
      <c r="C17" s="49">
        <f>E6</f>
        <v>10</v>
      </c>
      <c r="D17" s="64">
        <f>IF(G6=0,0,B17*C17)</f>
        <v>1013.8888888888889</v>
      </c>
      <c r="E17" s="35"/>
      <c r="F17" s="35"/>
      <c r="G17" s="58" t="s">
        <v>28</v>
      </c>
      <c r="H17" s="59"/>
      <c r="I17" s="60">
        <f>I15*0.00759</f>
        <v>517.13200000000006</v>
      </c>
    </row>
    <row r="18" spans="1:9" ht="18">
      <c r="A18" s="47"/>
      <c r="B18" s="58" t="s">
        <v>29</v>
      </c>
      <c r="C18" s="65"/>
      <c r="D18" s="66">
        <f>SUM(D15:D17)</f>
        <v>183513.88888888888</v>
      </c>
      <c r="E18" s="35"/>
      <c r="F18" s="35"/>
      <c r="G18" s="58"/>
      <c r="H18" s="59"/>
      <c r="I18" s="60"/>
    </row>
    <row r="19" spans="1:9" ht="18">
      <c r="A19" s="47"/>
      <c r="B19" s="58" t="s">
        <v>30</v>
      </c>
      <c r="C19" s="67">
        <v>7.5900000000000004E-3</v>
      </c>
      <c r="D19" s="66">
        <f>D18*C19</f>
        <v>1392.8704166666666</v>
      </c>
      <c r="E19" s="35"/>
      <c r="F19" s="35"/>
      <c r="G19" s="32"/>
      <c r="H19" s="35"/>
      <c r="I19" s="41"/>
    </row>
    <row r="20" spans="1:9" ht="18">
      <c r="A20" s="14"/>
      <c r="B20" s="68" t="s">
        <v>31</v>
      </c>
      <c r="C20" s="69"/>
      <c r="D20" s="59">
        <f>D18-D19</f>
        <v>182121.0184722222</v>
      </c>
      <c r="E20" s="70"/>
      <c r="F20" s="71" t="s">
        <v>32</v>
      </c>
      <c r="G20" s="72"/>
      <c r="H20" s="73"/>
      <c r="I20" s="74">
        <f>I15-I16-I17</f>
        <v>53989.534666666674</v>
      </c>
    </row>
    <row r="21" spans="1:9" ht="18">
      <c r="A21" s="14"/>
      <c r="B21" s="75"/>
      <c r="C21" s="76"/>
      <c r="D21" s="75"/>
      <c r="E21" s="75"/>
      <c r="F21" s="75"/>
      <c r="G21" s="77" t="s">
        <v>33</v>
      </c>
      <c r="H21" s="78"/>
      <c r="I21" s="79">
        <f>I20+D20</f>
        <v>236110.55313888888</v>
      </c>
    </row>
    <row r="22" spans="1:9" ht="18">
      <c r="A22" s="80"/>
      <c r="B22" s="35"/>
      <c r="C22" s="81"/>
      <c r="D22" s="32" t="s">
        <v>34</v>
      </c>
      <c r="E22" s="32"/>
      <c r="F22" s="32"/>
      <c r="G22" s="32"/>
      <c r="H22" s="35"/>
      <c r="I22" s="41"/>
    </row>
    <row r="23" spans="1:9" ht="18">
      <c r="A23" s="80"/>
      <c r="B23" s="35"/>
      <c r="C23" s="81"/>
      <c r="D23" s="82"/>
      <c r="E23" s="82"/>
      <c r="F23" s="82"/>
      <c r="G23" s="32" t="s">
        <v>35</v>
      </c>
      <c r="H23" s="35"/>
      <c r="I23" s="41"/>
    </row>
    <row r="24" spans="1:9" ht="18">
      <c r="A24" s="83" t="s">
        <v>36</v>
      </c>
      <c r="B24" s="84"/>
      <c r="C24" s="81"/>
      <c r="D24" s="32" t="s">
        <v>37</v>
      </c>
      <c r="E24" s="32"/>
      <c r="F24" s="35"/>
      <c r="G24" s="35"/>
      <c r="H24" s="35"/>
      <c r="I24" s="41"/>
    </row>
    <row r="25" spans="1:9" ht="18">
      <c r="A25" s="83"/>
      <c r="B25" s="84"/>
      <c r="C25" s="81"/>
      <c r="D25" s="35"/>
      <c r="E25" s="35"/>
      <c r="F25" s="35"/>
      <c r="G25" s="35"/>
      <c r="H25" s="35"/>
      <c r="I25" s="41"/>
    </row>
    <row r="26" spans="1:9" ht="18">
      <c r="A26" s="85" t="s">
        <v>38</v>
      </c>
      <c r="B26" s="86">
        <f>D20</f>
        <v>182121.0184722222</v>
      </c>
      <c r="C26" s="81"/>
      <c r="D26" s="87" t="s">
        <v>39</v>
      </c>
      <c r="E26" s="32"/>
      <c r="F26" s="87" t="s">
        <v>40</v>
      </c>
      <c r="G26" s="35"/>
      <c r="H26" s="35"/>
      <c r="I26" s="41"/>
    </row>
    <row r="27" spans="1:9" ht="18">
      <c r="A27" s="85" t="s">
        <v>41</v>
      </c>
      <c r="B27" s="86">
        <f>I20</f>
        <v>53989.534666666674</v>
      </c>
      <c r="C27" s="81"/>
      <c r="D27" s="32" t="s">
        <v>3</v>
      </c>
      <c r="E27" s="35"/>
      <c r="F27" s="35"/>
      <c r="G27" s="35"/>
      <c r="H27" s="35"/>
      <c r="I27" s="41"/>
    </row>
    <row r="28" spans="1:9" ht="18">
      <c r="A28" s="88" t="s">
        <v>42</v>
      </c>
      <c r="B28" s="89">
        <f>B26+B27</f>
        <v>236110.55313888888</v>
      </c>
      <c r="C28" s="81"/>
      <c r="D28" s="35" t="s">
        <v>3</v>
      </c>
      <c r="E28" s="35"/>
      <c r="F28" s="35"/>
      <c r="G28" s="35"/>
      <c r="H28" s="35"/>
      <c r="I28" s="41"/>
    </row>
  </sheetData>
  <mergeCells count="11">
    <mergeCell ref="B6:C6"/>
    <mergeCell ref="B7:C7"/>
    <mergeCell ref="A8:B8"/>
    <mergeCell ref="F12:G12"/>
    <mergeCell ref="A24:B25"/>
    <mergeCell ref="A1:I1"/>
    <mergeCell ref="A2:C2"/>
    <mergeCell ref="D2:I2"/>
    <mergeCell ref="B3:C3"/>
    <mergeCell ref="B4:C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ALPER ÖZ</dc:creator>
  <cp:lastModifiedBy>ALPER ÖZ</cp:lastModifiedBy>
  <dcterms:created xsi:type="dcterms:W3CDTF">2025-01-13T12:33:13Z</dcterms:created>
  <dcterms:modified xsi:type="dcterms:W3CDTF">2025-01-13T12:33:37Z</dcterms:modified>
</cp:coreProperties>
</file>